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jik\Documents\"/>
    </mc:Choice>
  </mc:AlternateContent>
  <xr:revisionPtr revIDLastSave="0" documentId="8_{8D79F811-1F2A-4258-88AA-31EE767D8E70}" xr6:coauthVersionLast="36" xr6:coauthVersionMax="36" xr10:uidLastSave="{00000000-0000-0000-0000-000000000000}"/>
  <bookViews>
    <workbookView xWindow="0" yWindow="0" windowWidth="28800" windowHeight="12225" xr2:uid="{C2EA123B-2299-4C12-A7E5-B998F35DEDC0}"/>
  </bookViews>
  <sheets>
    <sheet name="Лист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B22" i="1"/>
  <c r="B23" i="1"/>
</calcChain>
</file>

<file path=xl/sharedStrings.xml><?xml version="1.0" encoding="utf-8"?>
<sst xmlns="http://schemas.openxmlformats.org/spreadsheetml/2006/main" count="19" uniqueCount="19">
  <si>
    <t>Этап</t>
  </si>
  <si>
    <t>Создание визуализации</t>
  </si>
  <si>
    <t>Создание первого алгоритма</t>
  </si>
  <si>
    <t>Первичная оптимизация рендеринга</t>
  </si>
  <si>
    <r>
      <t>Внедрение алгоритна O(N</t>
    </r>
    <r>
      <rPr>
        <sz val="11"/>
        <color theme="1"/>
        <rFont val="Calibri"/>
        <family val="2"/>
        <charset val="204"/>
      </rPr>
      <t>·</t>
    </r>
    <r>
      <rPr>
        <sz val="11"/>
        <color theme="1"/>
        <rFont val="Calibri"/>
        <family val="2"/>
        <charset val="204"/>
        <scheme val="minor"/>
      </rPr>
      <t>log(N))</t>
    </r>
  </si>
  <si>
    <t>Название проекта</t>
  </si>
  <si>
    <t>Дата презентации</t>
  </si>
  <si>
    <t>"N-body Simulation"</t>
  </si>
  <si>
    <t>Дней с начала работы</t>
  </si>
  <si>
    <t>Дней до презентации</t>
  </si>
  <si>
    <t xml:space="preserve">Дата начала </t>
  </si>
  <si>
    <t>Дата старта проекта</t>
  </si>
  <si>
    <t>Дата завершения</t>
  </si>
  <si>
    <t>Чтение и обработка HDF5 файлов</t>
  </si>
  <si>
    <t>Сегодня</t>
  </si>
  <si>
    <t>Запись в файлы HDF5</t>
  </si>
  <si>
    <t>Внедрение OpenCL для работы с видеокартой</t>
  </si>
  <si>
    <t>Корректировка визуализации</t>
  </si>
  <si>
    <t>Обработка движения камеры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</si>
</sst>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;@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rgb="FF0061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6" fontId="3" fillId="0" borderId="0" xfId="0" applyNumberFormat="1" applyFont="1"/>
    <xf numFmtId="166" fontId="3" fillId="0" borderId="0" xfId="0" applyNumberFormat="1" applyFont="1" applyAlignment="1">
      <alignment horizontal="center"/>
    </xf>
    <xf numFmtId="166" fontId="3" fillId="0" borderId="1" xfId="0" applyNumberFormat="1" applyFont="1" applyBorder="1"/>
    <xf numFmtId="0" fontId="0" fillId="0" borderId="0" xfId="0" applyFill="1" applyBorder="1" applyAlignment="1">
      <alignment horizontal="left"/>
    </xf>
    <xf numFmtId="0" fontId="2" fillId="2" borderId="0" xfId="1" applyAlignment="1">
      <alignment horizontal="center"/>
    </xf>
    <xf numFmtId="14" fontId="2" fillId="2" borderId="0" xfId="1" applyNumberFormat="1" applyAlignment="1">
      <alignment horizontal="center"/>
    </xf>
  </cellXfs>
  <cellStyles count="2">
    <cellStyle name="Обычный" xfId="0" builtinId="0"/>
    <cellStyle name="Хороший" xfId="1" builtinId="26"/>
  </cellStyles>
  <dxfs count="4">
    <dxf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Прошедшие</a:t>
            </a:r>
            <a:r>
              <a:rPr lang="ru-RU" baseline="0"/>
              <a:t> и оставшиеся дни на работу</a:t>
            </a:r>
            <a:endParaRPr lang="ru-RU"/>
          </a:p>
        </c:rich>
      </c:tx>
      <c:layout>
        <c:manualLayout>
          <c:xMode val="edge"/>
          <c:yMode val="edge"/>
          <c:x val="0.1683751093613298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6692038495188099E-2"/>
          <c:y val="0.18097222222222226"/>
          <c:w val="0.88541907261592301"/>
          <c:h val="0.5362806211723534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Лист1!$A$22</c:f>
              <c:strCache>
                <c:ptCount val="1"/>
                <c:pt idx="0">
                  <c:v>Дней с начала работы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Lit>
              <c:ptCount val="1"/>
            </c:strLit>
          </c:cat>
          <c:val>
            <c:numRef>
              <c:f>Лист1!$B$22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9-4E4D-8B92-9C3D8D5D7B80}"/>
            </c:ext>
          </c:extLst>
        </c:ser>
        <c:ser>
          <c:idx val="1"/>
          <c:order val="1"/>
          <c:tx>
            <c:strRef>
              <c:f>Лист1!$A$23</c:f>
              <c:strCache>
                <c:ptCount val="1"/>
                <c:pt idx="0">
                  <c:v>Дней до презентации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Lit>
              <c:ptCount val="1"/>
            </c:strLit>
          </c:cat>
          <c:val>
            <c:numRef>
              <c:f>Лист1!$B$23</c:f>
              <c:numCache>
                <c:formatCode>General</c:formatCode>
                <c:ptCount val="1"/>
                <c:pt idx="0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D9-4E4D-8B92-9C3D8D5D7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2620639"/>
        <c:axId val="565700303"/>
      </c:barChart>
      <c:catAx>
        <c:axId val="44262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700303"/>
        <c:crosses val="autoZero"/>
        <c:auto val="1"/>
        <c:lblAlgn val="ctr"/>
        <c:lblOffset val="100"/>
        <c:tickMarkSkip val="1"/>
        <c:noMultiLvlLbl val="0"/>
      </c:catAx>
      <c:valAx>
        <c:axId val="565700303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620639"/>
        <c:crosses val="autoZero"/>
        <c:crossBetween val="between"/>
        <c:majorUnit val="20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ayout>
        <c:manualLayout>
          <c:xMode val="edge"/>
          <c:yMode val="edge"/>
          <c:x val="6.818372703412072E-2"/>
          <c:y val="0.75983741615631384"/>
          <c:w val="0.83307677165354332"/>
          <c:h val="0.212384806065908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375311</xdr:colOff>
      <xdr:row>23</xdr:row>
      <xdr:rowOff>145038</xdr:rowOff>
    </xdr:from>
    <xdr:to>
      <xdr:col>3</xdr:col>
      <xdr:colOff>661061</xdr:colOff>
      <xdr:row>38</xdr:row>
      <xdr:rowOff>30738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25E2E10-6F85-4DD2-9836-F0C90BEAA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9599-0322-457F-8987-5C632B80A942}">
  <dimension ref="A1:IX24"/>
  <sheetViews>
    <sheetView tabSelected="1" zoomScaleNormal="100" workbookViewId="0">
      <pane xSplit="4" ySplit="4" topLeftCell="BN5" activePane="bottomRight" state="frozen"/>
      <selection pane="topRight" activeCell="E1" sqref="E1"/>
      <selection pane="bottomLeft" activeCell="A4" sqref="A4"/>
      <selection pane="bottomRight" activeCell="D23" sqref="D23"/>
    </sheetView>
  </sheetViews>
  <sheetFormatPr defaultRowHeight="15" x14ac:dyDescent="0.25"/>
  <cols>
    <col min="1" max="1" width="21.42578125" bestFit="1" customWidth="1"/>
    <col min="2" max="2" width="22.140625" customWidth="1"/>
    <col min="3" max="4" width="21.42578125" customWidth="1"/>
    <col min="5" max="27" width="4" style="8" bestFit="1" customWidth="1"/>
    <col min="28" max="49" width="4.85546875" style="8" bestFit="1" customWidth="1"/>
    <col min="50" max="58" width="4" style="8" bestFit="1" customWidth="1"/>
    <col min="59" max="79" width="4.85546875" style="8" bestFit="1" customWidth="1"/>
    <col min="80" max="88" width="4" style="8" bestFit="1" customWidth="1"/>
    <col min="89" max="110" width="4.85546875" style="8" bestFit="1" customWidth="1"/>
    <col min="111" max="119" width="3.140625" style="8" bestFit="1" customWidth="1"/>
    <col min="120" max="141" width="4" style="8" bestFit="1" customWidth="1"/>
    <col min="142" max="150" width="3.140625" style="8" bestFit="1" customWidth="1"/>
    <col min="151" max="169" width="4" style="8" bestFit="1" customWidth="1"/>
    <col min="170" max="178" width="3.140625" style="8" bestFit="1" customWidth="1"/>
    <col min="179" max="200" width="4" style="8" bestFit="1" customWidth="1"/>
    <col min="201" max="209" width="3.140625" style="8" bestFit="1" customWidth="1"/>
    <col min="210" max="230" width="4" style="8" bestFit="1" customWidth="1"/>
    <col min="231" max="239" width="3.140625" style="8" bestFit="1" customWidth="1"/>
    <col min="240" max="258" width="4" style="8" bestFit="1" customWidth="1"/>
  </cols>
  <sheetData>
    <row r="1" spans="1:258" x14ac:dyDescent="0.25">
      <c r="A1" s="6" t="s">
        <v>5</v>
      </c>
      <c r="B1" s="6"/>
      <c r="C1" s="6" t="s">
        <v>7</v>
      </c>
      <c r="D1" s="6"/>
    </row>
    <row r="2" spans="1:258" x14ac:dyDescent="0.25">
      <c r="A2" s="6"/>
      <c r="B2" s="6"/>
      <c r="C2" s="2"/>
      <c r="D2" s="2"/>
    </row>
    <row r="3" spans="1:258" x14ac:dyDescent="0.25">
      <c r="A3" s="12" t="s">
        <v>14</v>
      </c>
      <c r="B3" s="12"/>
      <c r="C3" s="13">
        <f ca="1">TODAY()</f>
        <v>45973</v>
      </c>
      <c r="D3" s="13"/>
    </row>
    <row r="4" spans="1:258" x14ac:dyDescent="0.25">
      <c r="A4" s="6" t="s">
        <v>0</v>
      </c>
      <c r="B4" s="6"/>
      <c r="C4" s="1" t="s">
        <v>10</v>
      </c>
      <c r="D4" s="1" t="s">
        <v>12</v>
      </c>
      <c r="E4" s="10">
        <v>45917</v>
      </c>
      <c r="F4" s="10">
        <v>45918</v>
      </c>
      <c r="G4" s="10">
        <v>45919</v>
      </c>
      <c r="H4" s="10">
        <v>45920</v>
      </c>
      <c r="I4" s="10">
        <v>45921</v>
      </c>
      <c r="J4" s="10">
        <v>45922</v>
      </c>
      <c r="K4" s="10">
        <v>45923</v>
      </c>
      <c r="L4" s="10">
        <v>45924</v>
      </c>
      <c r="M4" s="10">
        <v>45925</v>
      </c>
      <c r="N4" s="10">
        <v>45926</v>
      </c>
      <c r="O4" s="10">
        <v>45927</v>
      </c>
      <c r="P4" s="10">
        <v>45928</v>
      </c>
      <c r="Q4" s="10">
        <v>45929</v>
      </c>
      <c r="R4" s="10">
        <v>45930</v>
      </c>
      <c r="S4" s="10">
        <v>45931</v>
      </c>
      <c r="T4" s="10">
        <v>45932</v>
      </c>
      <c r="U4" s="10">
        <v>45933</v>
      </c>
      <c r="V4" s="10">
        <v>45934</v>
      </c>
      <c r="W4" s="10">
        <v>45935</v>
      </c>
      <c r="X4" s="10">
        <v>45936</v>
      </c>
      <c r="Y4" s="10">
        <v>45937</v>
      </c>
      <c r="Z4" s="10">
        <v>45938</v>
      </c>
      <c r="AA4" s="10">
        <v>45939</v>
      </c>
      <c r="AB4" s="10">
        <v>45940</v>
      </c>
      <c r="AC4" s="10">
        <v>45941</v>
      </c>
      <c r="AD4" s="10">
        <v>45942</v>
      </c>
      <c r="AE4" s="10">
        <v>45943</v>
      </c>
      <c r="AF4" s="10">
        <v>45944</v>
      </c>
      <c r="AG4" s="10">
        <v>45945</v>
      </c>
      <c r="AH4" s="10">
        <v>45946</v>
      </c>
      <c r="AI4" s="10">
        <v>45947</v>
      </c>
      <c r="AJ4" s="10">
        <v>45948</v>
      </c>
      <c r="AK4" s="10">
        <v>45949</v>
      </c>
      <c r="AL4" s="10">
        <v>45950</v>
      </c>
      <c r="AM4" s="10">
        <v>45951</v>
      </c>
      <c r="AN4" s="10">
        <v>45952</v>
      </c>
      <c r="AO4" s="10">
        <v>45953</v>
      </c>
      <c r="AP4" s="10">
        <v>45954</v>
      </c>
      <c r="AQ4" s="10">
        <v>45955</v>
      </c>
      <c r="AR4" s="10">
        <v>45956</v>
      </c>
      <c r="AS4" s="10">
        <v>45957</v>
      </c>
      <c r="AT4" s="10">
        <v>45958</v>
      </c>
      <c r="AU4" s="10">
        <v>45959</v>
      </c>
      <c r="AV4" s="10">
        <v>45960</v>
      </c>
      <c r="AW4" s="10">
        <v>45961</v>
      </c>
      <c r="AX4" s="10">
        <v>45962</v>
      </c>
      <c r="AY4" s="10">
        <v>45963</v>
      </c>
      <c r="AZ4" s="10">
        <v>45964</v>
      </c>
      <c r="BA4" s="10">
        <v>45965</v>
      </c>
      <c r="BB4" s="10">
        <v>45966</v>
      </c>
      <c r="BC4" s="10">
        <v>45967</v>
      </c>
      <c r="BD4" s="10">
        <v>45968</v>
      </c>
      <c r="BE4" s="10">
        <v>45969</v>
      </c>
      <c r="BF4" s="10">
        <v>45970</v>
      </c>
      <c r="BG4" s="10">
        <v>45971</v>
      </c>
      <c r="BH4" s="10">
        <v>45972</v>
      </c>
      <c r="BI4" s="10">
        <v>45973</v>
      </c>
      <c r="BJ4" s="10">
        <v>45974</v>
      </c>
      <c r="BK4" s="10">
        <v>45975</v>
      </c>
      <c r="BL4" s="10">
        <v>45976</v>
      </c>
      <c r="BM4" s="10">
        <v>45977</v>
      </c>
      <c r="BN4" s="10">
        <v>45978</v>
      </c>
      <c r="BO4" s="10">
        <v>45979</v>
      </c>
      <c r="BP4" s="10">
        <v>45980</v>
      </c>
      <c r="BQ4" s="10">
        <v>45981</v>
      </c>
      <c r="BR4" s="10">
        <v>45982</v>
      </c>
      <c r="BS4" s="10">
        <v>45983</v>
      </c>
      <c r="BT4" s="10">
        <v>45984</v>
      </c>
      <c r="BU4" s="10">
        <v>45985</v>
      </c>
      <c r="BV4" s="10">
        <v>45986</v>
      </c>
      <c r="BW4" s="10">
        <v>45987</v>
      </c>
      <c r="BX4" s="10">
        <v>45988</v>
      </c>
      <c r="BY4" s="10">
        <v>45989</v>
      </c>
      <c r="BZ4" s="10">
        <v>45990</v>
      </c>
      <c r="CA4" s="10">
        <v>45991</v>
      </c>
      <c r="CB4" s="10">
        <v>45992</v>
      </c>
      <c r="CC4" s="10">
        <v>45993</v>
      </c>
      <c r="CD4" s="10">
        <v>45994</v>
      </c>
      <c r="CE4" s="10">
        <v>45995</v>
      </c>
      <c r="CF4" s="10">
        <v>45996</v>
      </c>
      <c r="CG4" s="10">
        <v>45997</v>
      </c>
      <c r="CH4" s="10">
        <v>45998</v>
      </c>
      <c r="CI4" s="10">
        <v>45999</v>
      </c>
      <c r="CJ4" s="10">
        <v>46000</v>
      </c>
      <c r="CK4" s="10">
        <v>46001</v>
      </c>
      <c r="CL4" s="10">
        <v>46002</v>
      </c>
      <c r="CM4" s="10">
        <v>46003</v>
      </c>
      <c r="CN4" s="10">
        <v>46004</v>
      </c>
      <c r="CO4" s="10">
        <v>46005</v>
      </c>
      <c r="CP4" s="10">
        <v>46006</v>
      </c>
      <c r="CQ4" s="10">
        <v>46007</v>
      </c>
      <c r="CR4" s="10">
        <v>46008</v>
      </c>
      <c r="CS4" s="10">
        <v>46009</v>
      </c>
      <c r="CT4" s="10">
        <v>46010</v>
      </c>
      <c r="CU4" s="10">
        <v>46011</v>
      </c>
      <c r="CV4" s="10">
        <v>46012</v>
      </c>
      <c r="CW4" s="10">
        <v>46013</v>
      </c>
      <c r="CX4" s="10">
        <v>46014</v>
      </c>
      <c r="CY4" s="10">
        <v>46015</v>
      </c>
      <c r="CZ4" s="10">
        <v>46016</v>
      </c>
      <c r="DA4" s="10">
        <v>46017</v>
      </c>
      <c r="DB4" s="10">
        <v>46018</v>
      </c>
      <c r="DC4" s="10">
        <v>46019</v>
      </c>
      <c r="DD4" s="10">
        <v>46020</v>
      </c>
      <c r="DE4" s="10">
        <v>46021</v>
      </c>
      <c r="DF4" s="10">
        <v>46022</v>
      </c>
      <c r="DG4" s="10">
        <v>46023</v>
      </c>
      <c r="DH4" s="10">
        <v>46024</v>
      </c>
      <c r="DI4" s="10">
        <v>46025</v>
      </c>
      <c r="DJ4" s="10">
        <v>46026</v>
      </c>
      <c r="DK4" s="10">
        <v>46027</v>
      </c>
      <c r="DL4" s="10">
        <v>46028</v>
      </c>
      <c r="DM4" s="10">
        <v>46029</v>
      </c>
      <c r="DN4" s="10">
        <v>46030</v>
      </c>
      <c r="DO4" s="10">
        <v>46031</v>
      </c>
      <c r="DP4" s="10">
        <v>46032</v>
      </c>
      <c r="DQ4" s="10">
        <v>46033</v>
      </c>
      <c r="DR4" s="10">
        <v>46034</v>
      </c>
      <c r="DS4" s="10">
        <v>46035</v>
      </c>
      <c r="DT4" s="10">
        <v>46036</v>
      </c>
      <c r="DU4" s="10">
        <v>46037</v>
      </c>
      <c r="DV4" s="10">
        <v>46038</v>
      </c>
      <c r="DW4" s="10">
        <v>46039</v>
      </c>
      <c r="DX4" s="10">
        <v>46040</v>
      </c>
      <c r="DY4" s="10">
        <v>46041</v>
      </c>
      <c r="DZ4" s="10">
        <v>46042</v>
      </c>
      <c r="EA4" s="10">
        <v>46043</v>
      </c>
      <c r="EB4" s="10">
        <v>46044</v>
      </c>
      <c r="EC4" s="10">
        <v>46045</v>
      </c>
      <c r="ED4" s="10">
        <v>46046</v>
      </c>
      <c r="EE4" s="10">
        <v>46047</v>
      </c>
      <c r="EF4" s="10">
        <v>46048</v>
      </c>
      <c r="EG4" s="10">
        <v>46049</v>
      </c>
      <c r="EH4" s="10">
        <v>46050</v>
      </c>
      <c r="EI4" s="10">
        <v>46051</v>
      </c>
      <c r="EJ4" s="10">
        <v>46052</v>
      </c>
      <c r="EK4" s="10">
        <v>46053</v>
      </c>
      <c r="EL4" s="10">
        <v>46054</v>
      </c>
      <c r="EM4" s="10">
        <v>46055</v>
      </c>
      <c r="EN4" s="10">
        <v>46056</v>
      </c>
      <c r="EO4" s="10">
        <v>46057</v>
      </c>
      <c r="EP4" s="10">
        <v>46058</v>
      </c>
      <c r="EQ4" s="10">
        <v>46059</v>
      </c>
      <c r="ER4" s="10">
        <v>46060</v>
      </c>
      <c r="ES4" s="10">
        <v>46061</v>
      </c>
      <c r="ET4" s="10">
        <v>46062</v>
      </c>
      <c r="EU4" s="10">
        <v>46063</v>
      </c>
      <c r="EV4" s="10">
        <v>46064</v>
      </c>
      <c r="EW4" s="10">
        <v>46065</v>
      </c>
      <c r="EX4" s="10">
        <v>46066</v>
      </c>
      <c r="EY4" s="10">
        <v>46067</v>
      </c>
      <c r="EZ4" s="10">
        <v>46068</v>
      </c>
      <c r="FA4" s="10">
        <v>46069</v>
      </c>
      <c r="FB4" s="10">
        <v>46070</v>
      </c>
      <c r="FC4" s="10">
        <v>46071</v>
      </c>
      <c r="FD4" s="10">
        <v>46072</v>
      </c>
      <c r="FE4" s="10">
        <v>46073</v>
      </c>
      <c r="FF4" s="10">
        <v>46074</v>
      </c>
      <c r="FG4" s="10">
        <v>46075</v>
      </c>
      <c r="FH4" s="10">
        <v>46076</v>
      </c>
      <c r="FI4" s="10">
        <v>46077</v>
      </c>
      <c r="FJ4" s="10">
        <v>46078</v>
      </c>
      <c r="FK4" s="10">
        <v>46079</v>
      </c>
      <c r="FL4" s="10">
        <v>46080</v>
      </c>
      <c r="FM4" s="10">
        <v>46081</v>
      </c>
      <c r="FN4" s="10">
        <v>46082</v>
      </c>
      <c r="FO4" s="10">
        <v>46083</v>
      </c>
      <c r="FP4" s="10">
        <v>46084</v>
      </c>
      <c r="FQ4" s="10">
        <v>46085</v>
      </c>
      <c r="FR4" s="10">
        <v>46086</v>
      </c>
      <c r="FS4" s="10">
        <v>46087</v>
      </c>
      <c r="FT4" s="10">
        <v>46088</v>
      </c>
      <c r="FU4" s="10">
        <v>46089</v>
      </c>
      <c r="FV4" s="10">
        <v>46090</v>
      </c>
      <c r="FW4" s="10">
        <v>46091</v>
      </c>
      <c r="FX4" s="10">
        <v>46092</v>
      </c>
      <c r="FY4" s="10">
        <v>46093</v>
      </c>
      <c r="FZ4" s="10">
        <v>46094</v>
      </c>
      <c r="GA4" s="10">
        <v>46095</v>
      </c>
      <c r="GB4" s="10">
        <v>46096</v>
      </c>
      <c r="GC4" s="10">
        <v>46097</v>
      </c>
      <c r="GD4" s="10">
        <v>46098</v>
      </c>
      <c r="GE4" s="10">
        <v>46099</v>
      </c>
      <c r="GF4" s="10">
        <v>46100</v>
      </c>
      <c r="GG4" s="10">
        <v>46101</v>
      </c>
      <c r="GH4" s="10">
        <v>46102</v>
      </c>
      <c r="GI4" s="10">
        <v>46103</v>
      </c>
      <c r="GJ4" s="10">
        <v>46104</v>
      </c>
      <c r="GK4" s="10">
        <v>46105</v>
      </c>
      <c r="GL4" s="10">
        <v>46106</v>
      </c>
      <c r="GM4" s="10">
        <v>46107</v>
      </c>
      <c r="GN4" s="10">
        <v>46108</v>
      </c>
      <c r="GO4" s="10">
        <v>46109</v>
      </c>
      <c r="GP4" s="10">
        <v>46110</v>
      </c>
      <c r="GQ4" s="10">
        <v>46111</v>
      </c>
      <c r="GR4" s="10">
        <v>46112</v>
      </c>
      <c r="GS4" s="10">
        <v>46113</v>
      </c>
      <c r="GT4" s="10">
        <v>46114</v>
      </c>
      <c r="GU4" s="10">
        <v>46115</v>
      </c>
      <c r="GV4" s="10">
        <v>46116</v>
      </c>
      <c r="GW4" s="10">
        <v>46117</v>
      </c>
      <c r="GX4" s="10">
        <v>46118</v>
      </c>
      <c r="GY4" s="10">
        <v>46119</v>
      </c>
      <c r="GZ4" s="10">
        <v>46120</v>
      </c>
      <c r="HA4" s="10">
        <v>46121</v>
      </c>
      <c r="HB4" s="10">
        <v>46122</v>
      </c>
      <c r="HC4" s="10">
        <v>46123</v>
      </c>
      <c r="HD4" s="10">
        <v>46124</v>
      </c>
      <c r="HE4" s="10">
        <v>46125</v>
      </c>
      <c r="HF4" s="10">
        <v>46126</v>
      </c>
      <c r="HG4" s="10">
        <v>46127</v>
      </c>
      <c r="HH4" s="10">
        <v>46128</v>
      </c>
      <c r="HI4" s="10">
        <v>46129</v>
      </c>
      <c r="HJ4" s="10">
        <v>46130</v>
      </c>
      <c r="HK4" s="10">
        <v>46131</v>
      </c>
      <c r="HL4" s="10">
        <v>46132</v>
      </c>
      <c r="HM4" s="10">
        <v>46133</v>
      </c>
      <c r="HN4" s="10">
        <v>46134</v>
      </c>
      <c r="HO4" s="10">
        <v>46135</v>
      </c>
      <c r="HP4" s="10">
        <v>46136</v>
      </c>
      <c r="HQ4" s="10">
        <v>46137</v>
      </c>
      <c r="HR4" s="10">
        <v>46138</v>
      </c>
      <c r="HS4" s="10">
        <v>46139</v>
      </c>
      <c r="HT4" s="10">
        <v>46140</v>
      </c>
      <c r="HU4" s="10">
        <v>46141</v>
      </c>
      <c r="HV4" s="10">
        <v>46142</v>
      </c>
      <c r="HW4" s="10">
        <v>46143</v>
      </c>
      <c r="HX4" s="10">
        <v>46144</v>
      </c>
      <c r="HY4" s="10">
        <v>46145</v>
      </c>
      <c r="HZ4" s="10">
        <v>46146</v>
      </c>
      <c r="IA4" s="10">
        <v>46147</v>
      </c>
      <c r="IB4" s="10">
        <v>46148</v>
      </c>
      <c r="IC4" s="10">
        <v>46149</v>
      </c>
      <c r="ID4" s="10">
        <v>46150</v>
      </c>
      <c r="IE4" s="10">
        <v>46151</v>
      </c>
      <c r="IF4" s="10">
        <v>46152</v>
      </c>
      <c r="IG4" s="10">
        <v>46153</v>
      </c>
      <c r="IH4" s="10">
        <v>46154</v>
      </c>
      <c r="II4" s="10">
        <v>46155</v>
      </c>
      <c r="IJ4" s="10">
        <v>46156</v>
      </c>
      <c r="IK4" s="10">
        <v>46157</v>
      </c>
      <c r="IL4" s="10">
        <v>46158</v>
      </c>
      <c r="IM4" s="10">
        <v>46159</v>
      </c>
      <c r="IN4" s="10">
        <v>46160</v>
      </c>
      <c r="IO4" s="10">
        <v>46161</v>
      </c>
      <c r="IP4" s="10">
        <v>46162</v>
      </c>
      <c r="IQ4" s="10">
        <v>46163</v>
      </c>
      <c r="IR4" s="10">
        <v>46164</v>
      </c>
      <c r="IS4" s="10">
        <v>46165</v>
      </c>
      <c r="IT4" s="10">
        <v>46166</v>
      </c>
      <c r="IU4" s="10">
        <v>46167</v>
      </c>
      <c r="IV4" s="10">
        <v>46168</v>
      </c>
      <c r="IW4" s="10">
        <v>46169</v>
      </c>
      <c r="IX4" s="10">
        <v>46170</v>
      </c>
    </row>
    <row r="5" spans="1:258" x14ac:dyDescent="0.25">
      <c r="A5" s="7" t="s">
        <v>1</v>
      </c>
      <c r="B5" s="7"/>
      <c r="C5" s="4">
        <v>45917</v>
      </c>
      <c r="D5" s="4">
        <v>45931</v>
      </c>
    </row>
    <row r="6" spans="1:258" x14ac:dyDescent="0.25">
      <c r="A6" s="7" t="s">
        <v>2</v>
      </c>
      <c r="B6" s="7"/>
      <c r="C6" s="4">
        <v>45917</v>
      </c>
      <c r="D6" s="4">
        <v>45924</v>
      </c>
    </row>
    <row r="7" spans="1:258" x14ac:dyDescent="0.25">
      <c r="A7" s="7" t="s">
        <v>13</v>
      </c>
      <c r="B7" s="7"/>
      <c r="C7" s="4">
        <v>45931</v>
      </c>
      <c r="D7" s="4">
        <v>45959</v>
      </c>
    </row>
    <row r="8" spans="1:258" x14ac:dyDescent="0.25">
      <c r="A8" s="7" t="s">
        <v>3</v>
      </c>
      <c r="B8" s="7"/>
      <c r="C8" s="4">
        <v>45938</v>
      </c>
      <c r="D8" s="4">
        <v>45945</v>
      </c>
    </row>
    <row r="9" spans="1:258" x14ac:dyDescent="0.25">
      <c r="A9" s="7" t="s">
        <v>4</v>
      </c>
      <c r="B9" s="7"/>
      <c r="C9" s="4">
        <v>45973</v>
      </c>
      <c r="D9" s="4">
        <v>45987</v>
      </c>
    </row>
    <row r="10" spans="1:258" x14ac:dyDescent="0.25">
      <c r="A10" s="7" t="s">
        <v>17</v>
      </c>
      <c r="B10" s="7"/>
      <c r="C10" s="4">
        <v>45959</v>
      </c>
      <c r="D10" s="4">
        <v>45966</v>
      </c>
    </row>
    <row r="11" spans="1:258" x14ac:dyDescent="0.25">
      <c r="A11" s="7" t="s">
        <v>18</v>
      </c>
      <c r="B11" s="7"/>
      <c r="C11" s="4">
        <v>45945</v>
      </c>
      <c r="D11" s="4">
        <v>45973</v>
      </c>
    </row>
    <row r="12" spans="1:258" x14ac:dyDescent="0.25">
      <c r="A12" s="11" t="s">
        <v>15</v>
      </c>
      <c r="B12" s="11"/>
      <c r="C12" s="4">
        <v>45973</v>
      </c>
      <c r="D12" s="4">
        <v>45994</v>
      </c>
    </row>
    <row r="13" spans="1:258" x14ac:dyDescent="0.25">
      <c r="A13" s="11" t="s">
        <v>16</v>
      </c>
      <c r="B13" s="11"/>
      <c r="C13" s="4">
        <v>45987</v>
      </c>
      <c r="D13" s="4">
        <v>46015</v>
      </c>
    </row>
    <row r="14" spans="1:258" x14ac:dyDescent="0.25">
      <c r="A14" s="6"/>
      <c r="B14" s="6"/>
    </row>
    <row r="15" spans="1:258" x14ac:dyDescent="0.25">
      <c r="A15" s="6"/>
      <c r="B15" s="6"/>
    </row>
    <row r="16" spans="1:258" x14ac:dyDescent="0.25">
      <c r="A16" s="6"/>
      <c r="B16" s="6"/>
      <c r="C16" s="1"/>
      <c r="D16" s="1"/>
    </row>
    <row r="17" spans="1:13" x14ac:dyDescent="0.25">
      <c r="A17" s="7"/>
      <c r="B17" s="7"/>
      <c r="C17" s="3"/>
      <c r="D17" s="3"/>
    </row>
    <row r="18" spans="1:13" x14ac:dyDescent="0.25">
      <c r="A18" s="7"/>
      <c r="B18" s="7"/>
      <c r="C18" s="3"/>
      <c r="D18" s="3"/>
    </row>
    <row r="19" spans="1:13" x14ac:dyDescent="0.25">
      <c r="C19" s="1"/>
      <c r="D19" s="1"/>
      <c r="E19" s="9"/>
      <c r="F19" s="9"/>
      <c r="H19" s="9"/>
      <c r="I19" s="9"/>
      <c r="J19" s="9"/>
      <c r="K19" s="9"/>
      <c r="L19" s="9"/>
      <c r="M19" s="9"/>
    </row>
    <row r="20" spans="1:13" x14ac:dyDescent="0.25">
      <c r="A20" s="1" t="s">
        <v>11</v>
      </c>
      <c r="B20" s="4">
        <v>45917</v>
      </c>
      <c r="C20" s="4"/>
      <c r="D20" s="4"/>
      <c r="E20" s="9"/>
      <c r="F20" s="9"/>
    </row>
    <row r="21" spans="1:13" x14ac:dyDescent="0.25">
      <c r="A21" s="1" t="s">
        <v>6</v>
      </c>
      <c r="B21" s="4">
        <v>46170</v>
      </c>
      <c r="C21" s="4"/>
      <c r="D21" s="4"/>
      <c r="E21" s="9"/>
      <c r="F21" s="9"/>
    </row>
    <row r="22" spans="1:13" x14ac:dyDescent="0.25">
      <c r="A22" s="1" t="s">
        <v>8</v>
      </c>
      <c r="B22" s="5">
        <f ca="1">TODAY()-B20</f>
        <v>56</v>
      </c>
    </row>
    <row r="23" spans="1:13" x14ac:dyDescent="0.25">
      <c r="A23" s="1" t="s">
        <v>9</v>
      </c>
      <c r="B23" s="5">
        <f ca="1">B21-TODAY()</f>
        <v>197</v>
      </c>
      <c r="C23" s="5"/>
      <c r="D23" s="5"/>
      <c r="E23" s="9"/>
      <c r="F23" s="9"/>
    </row>
    <row r="24" spans="1:13" x14ac:dyDescent="0.25">
      <c r="C24" s="5"/>
      <c r="D24" s="5"/>
      <c r="E24" s="9"/>
      <c r="F24" s="9"/>
    </row>
  </sheetData>
  <mergeCells count="20">
    <mergeCell ref="A17:B17"/>
    <mergeCell ref="A18:B18"/>
    <mergeCell ref="A4:B4"/>
    <mergeCell ref="A5:B5"/>
    <mergeCell ref="A6:B6"/>
    <mergeCell ref="A8:B8"/>
    <mergeCell ref="A7:B7"/>
    <mergeCell ref="A9:B9"/>
    <mergeCell ref="A12:B12"/>
    <mergeCell ref="A13:B13"/>
    <mergeCell ref="A10:B10"/>
    <mergeCell ref="A11:B11"/>
    <mergeCell ref="A14:B14"/>
    <mergeCell ref="A15:B15"/>
    <mergeCell ref="A1:B1"/>
    <mergeCell ref="C1:D1"/>
    <mergeCell ref="A16:B16"/>
    <mergeCell ref="A3:B3"/>
    <mergeCell ref="C3:D3"/>
    <mergeCell ref="A2:B2"/>
  </mergeCells>
  <conditionalFormatting sqref="E4:IX4">
    <cfRule type="expression" dxfId="3" priority="2">
      <formula>E$4 &gt; TODAY()</formula>
    </cfRule>
    <cfRule type="expression" dxfId="2" priority="3">
      <formula>E$4 &lt; TODAY()</formula>
    </cfRule>
    <cfRule type="expression" dxfId="1" priority="4">
      <formula>E$4 = TODAY()</formula>
    </cfRule>
  </conditionalFormatting>
  <conditionalFormatting sqref="E16:IX18 E5:IX13">
    <cfRule type="expression" dxfId="0" priority="1">
      <formula>AND(E$4 &gt;= $C5, E$4 &lt;= $D5)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Пешков</dc:creator>
  <cp:lastModifiedBy>Алексей Пешков</cp:lastModifiedBy>
  <dcterms:created xsi:type="dcterms:W3CDTF">2025-11-11T16:35:12Z</dcterms:created>
  <dcterms:modified xsi:type="dcterms:W3CDTF">2025-11-11T19:30:52Z</dcterms:modified>
</cp:coreProperties>
</file>