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jik\Downloads\"/>
    </mc:Choice>
  </mc:AlternateContent>
  <xr:revisionPtr revIDLastSave="0" documentId="13_ncr:1_{84BA6974-CD55-4184-AD06-92B082B77E2E}" xr6:coauthVersionLast="36" xr6:coauthVersionMax="36" xr10:uidLastSave="{00000000-0000-0000-0000-000000000000}"/>
  <bookViews>
    <workbookView xWindow="0" yWindow="0" windowWidth="28800" windowHeight="12225" xr2:uid="{C2EA123B-2299-4C12-A7E5-B998F35DED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B26" i="1"/>
  <c r="B27" i="1"/>
</calcChain>
</file>

<file path=xl/sharedStrings.xml><?xml version="1.0" encoding="utf-8"?>
<sst xmlns="http://schemas.openxmlformats.org/spreadsheetml/2006/main" count="29" uniqueCount="29">
  <si>
    <t>Создание визуализации</t>
  </si>
  <si>
    <t>Создание первого алгоритма</t>
  </si>
  <si>
    <t>Первичная оптимизация рендеринга</t>
  </si>
  <si>
    <t>Название проекта</t>
  </si>
  <si>
    <t>Дата презентации</t>
  </si>
  <si>
    <t>"N-body Simulation"</t>
  </si>
  <si>
    <t>Дней с начала работы</t>
  </si>
  <si>
    <t>Дней до презентации</t>
  </si>
  <si>
    <t xml:space="preserve">Дата начала </t>
  </si>
  <si>
    <t>Дата старта проекта</t>
  </si>
  <si>
    <t>Дата завершения</t>
  </si>
  <si>
    <t>Чтение и обработка HDF5 файлов</t>
  </si>
  <si>
    <t>Сегодня</t>
  </si>
  <si>
    <t>Запись в файлы HDF5</t>
  </si>
  <si>
    <t>Корректировка визуализации</t>
  </si>
  <si>
    <t>Задачи и подзадачи</t>
  </si>
  <si>
    <t>Preparing presentation</t>
  </si>
  <si>
    <t>Базовый функционал</t>
  </si>
  <si>
    <t>Расширение и оптимизация</t>
  </si>
  <si>
    <t>Внедрение CUDA для работы с видеокартой</t>
  </si>
  <si>
    <t>Baseline N-body simulator</t>
  </si>
  <si>
    <t>Scaling &amp; parallelization</t>
  </si>
  <si>
    <t>Реализация инерциальной камеры</t>
  </si>
  <si>
    <r>
      <t>Внедрение алгоритма O(N</t>
    </r>
    <r>
      <rPr>
        <sz val="11"/>
        <color theme="1"/>
        <rFont val="Calibri"/>
        <family val="2"/>
        <charset val="204"/>
      </rPr>
      <t>·</t>
    </r>
    <r>
      <rPr>
        <sz val="11"/>
        <color theme="1"/>
        <rFont val="Calibri"/>
        <family val="2"/>
        <charset val="204"/>
        <scheme val="minor"/>
      </rPr>
      <t>log(N))</t>
    </r>
  </si>
  <si>
    <t>Создание паттернов в файлах HDF5</t>
  </si>
  <si>
    <t>Оптимизация вычислительного ядра</t>
  </si>
  <si>
    <t>Использование паттернов и замер изменений</t>
  </si>
  <si>
    <t>Тестирование алогоритма O(N·log(N))</t>
  </si>
  <si>
    <t>Получение результатов введения CUDA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</si>
</sst>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6" fillId="5" borderId="0" applyNumberFormat="0" applyBorder="0" applyAlignment="0" applyProtection="0"/>
    <xf numFmtId="0" fontId="4" fillId="6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164" fontId="3" fillId="0" borderId="1" xfId="0" applyNumberFormat="1" applyFont="1" applyBorder="1"/>
    <xf numFmtId="164" fontId="3" fillId="0" borderId="2" xfId="0" applyNumberFormat="1" applyFont="1" applyBorder="1"/>
    <xf numFmtId="164" fontId="3" fillId="0" borderId="0" xfId="0" applyNumberFormat="1" applyFont="1" applyBorder="1"/>
    <xf numFmtId="0" fontId="5" fillId="3" borderId="0" xfId="2" applyAlignment="1">
      <alignment horizontal="center"/>
    </xf>
    <xf numFmtId="0" fontId="0" fillId="0" borderId="0" xfId="0" applyAlignment="1">
      <alignment horizontal="left"/>
    </xf>
    <xf numFmtId="164" fontId="0" fillId="4" borderId="3" xfId="3" applyNumberFormat="1" applyFont="1" applyBorder="1" applyAlignment="1">
      <alignment horizontal="center"/>
    </xf>
    <xf numFmtId="164" fontId="0" fillId="6" borderId="3" xfId="5" applyNumberFormat="1" applyFont="1" applyBorder="1" applyAlignment="1">
      <alignment horizontal="center"/>
    </xf>
    <xf numFmtId="164" fontId="4" fillId="4" borderId="3" xfId="3" applyNumberFormat="1" applyBorder="1" applyAlignment="1">
      <alignment horizontal="center"/>
    </xf>
    <xf numFmtId="0" fontId="6" fillId="5" borderId="0" xfId="4" applyAlignment="1">
      <alignment horizontal="center"/>
    </xf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14" fontId="2" fillId="2" borderId="0" xfId="1" applyNumberFormat="1" applyAlignment="1">
      <alignment horizontal="center"/>
    </xf>
    <xf numFmtId="0" fontId="5" fillId="3" borderId="0" xfId="2" applyAlignment="1">
      <alignment horizontal="center"/>
    </xf>
    <xf numFmtId="0" fontId="0" fillId="0" borderId="0" xfId="0" applyFill="1" applyBorder="1" applyAlignment="1">
      <alignment horizontal="left"/>
    </xf>
    <xf numFmtId="0" fontId="6" fillId="5" borderId="0" xfId="4" applyAlignment="1">
      <alignment horizontal="left"/>
    </xf>
  </cellXfs>
  <cellStyles count="6">
    <cellStyle name="60% — акцент2" xfId="3" builtinId="36"/>
    <cellStyle name="60% — акцент4" xfId="5" builtinId="44"/>
    <cellStyle name="Акцент3" xfId="4" builtinId="37"/>
    <cellStyle name="Нейтральный" xfId="2" builtinId="28"/>
    <cellStyle name="Обычный" xfId="0" builtinId="0"/>
    <cellStyle name="Хороший" xfId="1" builtinId="26"/>
  </cellStyles>
  <dxfs count="24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Прошедшие</a:t>
            </a:r>
            <a:r>
              <a:rPr lang="ru-RU" baseline="0"/>
              <a:t> и оставшиеся дни на работу</a:t>
            </a:r>
            <a:endParaRPr lang="ru-RU"/>
          </a:p>
        </c:rich>
      </c:tx>
      <c:layout>
        <c:manualLayout>
          <c:xMode val="edge"/>
          <c:yMode val="edge"/>
          <c:x val="0.1683751093613298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6692038495188099E-2"/>
          <c:y val="0.18097222222222226"/>
          <c:w val="0.88541907261592301"/>
          <c:h val="0.5362806211723534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Лист1!$A$26</c:f>
              <c:strCache>
                <c:ptCount val="1"/>
                <c:pt idx="0">
                  <c:v>Дней с начала работы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Лист1!$B$26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9-4E4D-8B92-9C3D8D5D7B80}"/>
            </c:ext>
          </c:extLst>
        </c:ser>
        <c:ser>
          <c:idx val="1"/>
          <c:order val="1"/>
          <c:tx>
            <c:strRef>
              <c:f>Лист1!$A$27</c:f>
              <c:strCache>
                <c:ptCount val="1"/>
                <c:pt idx="0">
                  <c:v>Дней до презентации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Lit>
              <c:ptCount val="1"/>
            </c:strLit>
          </c:cat>
          <c:val>
            <c:numRef>
              <c:f>Лист1!$B$27</c:f>
              <c:numCache>
                <c:formatCode>General</c:formatCode>
                <c:ptCount val="1"/>
                <c:pt idx="0">
                  <c:v>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D9-4E4D-8B92-9C3D8D5D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2620639"/>
        <c:axId val="565700303"/>
      </c:barChart>
      <c:catAx>
        <c:axId val="44262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5700303"/>
        <c:crosses val="autoZero"/>
        <c:auto val="1"/>
        <c:lblAlgn val="ctr"/>
        <c:lblOffset val="100"/>
        <c:tickMarkSkip val="1"/>
        <c:noMultiLvlLbl val="0"/>
      </c:catAx>
      <c:valAx>
        <c:axId val="565700303"/>
        <c:scaling>
          <c:orientation val="minMax"/>
          <c:max val="2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2620639"/>
        <c:crosses val="autoZero"/>
        <c:crossBetween val="between"/>
        <c:majorUnit val="20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legendEntry>
      <c:layout>
        <c:manualLayout>
          <c:xMode val="edge"/>
          <c:yMode val="edge"/>
          <c:x val="6.818372703412072E-2"/>
          <c:y val="0.75983741615631384"/>
          <c:w val="0.83307677165354332"/>
          <c:h val="0.212384806065908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375311</xdr:colOff>
      <xdr:row>27</xdr:row>
      <xdr:rowOff>145038</xdr:rowOff>
    </xdr:from>
    <xdr:to>
      <xdr:col>3</xdr:col>
      <xdr:colOff>661061</xdr:colOff>
      <xdr:row>42</xdr:row>
      <xdr:rowOff>30738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25E2E10-6F85-4DD2-9836-F0C90BEAA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9599-0322-457F-8987-5C632B80A942}">
  <dimension ref="A1:IX28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M35" sqref="M35"/>
    </sheetView>
  </sheetViews>
  <sheetFormatPr defaultRowHeight="15" outlineLevelRow="1" x14ac:dyDescent="0.25"/>
  <cols>
    <col min="1" max="1" width="21.42578125" bestFit="1" customWidth="1"/>
    <col min="2" max="2" width="22.140625" customWidth="1"/>
    <col min="3" max="4" width="21.42578125" customWidth="1"/>
    <col min="5" max="41" width="5.7109375" style="5" customWidth="1"/>
    <col min="42" max="49" width="4.85546875" style="5" bestFit="1" customWidth="1"/>
    <col min="50" max="58" width="4" style="5" bestFit="1" customWidth="1"/>
    <col min="59" max="79" width="4.85546875" style="5" bestFit="1" customWidth="1"/>
    <col min="80" max="88" width="4" style="5" bestFit="1" customWidth="1"/>
    <col min="89" max="110" width="4.85546875" style="5" bestFit="1" customWidth="1"/>
    <col min="111" max="119" width="3.140625" style="5" bestFit="1" customWidth="1"/>
    <col min="120" max="141" width="4" style="5" bestFit="1" customWidth="1"/>
    <col min="142" max="150" width="3.140625" style="5" bestFit="1" customWidth="1"/>
    <col min="151" max="169" width="4" style="5" bestFit="1" customWidth="1"/>
    <col min="170" max="178" width="3.140625" style="5" bestFit="1" customWidth="1"/>
    <col min="179" max="200" width="4" style="5" bestFit="1" customWidth="1"/>
    <col min="201" max="209" width="3.140625" style="5" bestFit="1" customWidth="1"/>
    <col min="210" max="230" width="4" style="5" bestFit="1" customWidth="1"/>
    <col min="231" max="239" width="3.140625" style="5" bestFit="1" customWidth="1"/>
    <col min="240" max="258" width="4" style="5" bestFit="1" customWidth="1"/>
  </cols>
  <sheetData>
    <row r="1" spans="1:258" x14ac:dyDescent="0.25">
      <c r="A1" s="16" t="s">
        <v>3</v>
      </c>
      <c r="B1" s="16"/>
      <c r="C1" s="16" t="s">
        <v>5</v>
      </c>
      <c r="D1" s="16"/>
    </row>
    <row r="2" spans="1:258" x14ac:dyDescent="0.25">
      <c r="A2" s="16"/>
      <c r="B2" s="16"/>
      <c r="C2" s="2"/>
      <c r="D2" s="2"/>
    </row>
    <row r="3" spans="1:258" x14ac:dyDescent="0.25">
      <c r="A3" s="17" t="s">
        <v>12</v>
      </c>
      <c r="B3" s="17"/>
      <c r="C3" s="18">
        <f ca="1">TODAY()</f>
        <v>45979</v>
      </c>
      <c r="D3" s="18"/>
      <c r="E3" s="12" t="s">
        <v>20</v>
      </c>
      <c r="F3" s="12"/>
      <c r="G3" s="12"/>
      <c r="H3" s="12"/>
      <c r="I3" s="12"/>
      <c r="J3" s="12"/>
      <c r="K3" s="12"/>
      <c r="L3" s="12"/>
      <c r="M3" s="12"/>
      <c r="N3" s="12"/>
      <c r="O3" s="13" t="s">
        <v>21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4" t="s">
        <v>16</v>
      </c>
      <c r="AM3" s="14"/>
      <c r="AN3" s="14"/>
      <c r="AO3" s="14"/>
    </row>
    <row r="4" spans="1:258" x14ac:dyDescent="0.25">
      <c r="A4" s="19" t="s">
        <v>15</v>
      </c>
      <c r="B4" s="19"/>
      <c r="C4" s="10" t="s">
        <v>8</v>
      </c>
      <c r="D4" s="10" t="s">
        <v>10</v>
      </c>
      <c r="E4" s="7">
        <v>45917</v>
      </c>
      <c r="F4" s="7">
        <v>45924</v>
      </c>
      <c r="G4" s="7">
        <v>45931</v>
      </c>
      <c r="H4" s="7">
        <v>45938</v>
      </c>
      <c r="I4" s="7">
        <v>45945</v>
      </c>
      <c r="J4" s="7">
        <v>45952</v>
      </c>
      <c r="K4" s="7">
        <v>45959</v>
      </c>
      <c r="L4" s="7">
        <v>45966</v>
      </c>
      <c r="M4" s="7">
        <v>45973</v>
      </c>
      <c r="N4" s="7">
        <v>45980</v>
      </c>
      <c r="O4" s="7">
        <v>45987</v>
      </c>
      <c r="P4" s="7">
        <v>45994</v>
      </c>
      <c r="Q4" s="7">
        <v>46001</v>
      </c>
      <c r="R4" s="7">
        <v>46008</v>
      </c>
      <c r="S4" s="7">
        <v>46015</v>
      </c>
      <c r="T4" s="7">
        <v>46022</v>
      </c>
      <c r="U4" s="7">
        <v>46029</v>
      </c>
      <c r="V4" s="7">
        <v>46036</v>
      </c>
      <c r="W4" s="7">
        <v>46043</v>
      </c>
      <c r="X4" s="7">
        <v>46050</v>
      </c>
      <c r="Y4" s="7">
        <v>46057</v>
      </c>
      <c r="Z4" s="7">
        <v>46064</v>
      </c>
      <c r="AA4" s="7">
        <v>46071</v>
      </c>
      <c r="AB4" s="7">
        <v>46078</v>
      </c>
      <c r="AC4" s="7">
        <v>46085</v>
      </c>
      <c r="AD4" s="7">
        <v>46092</v>
      </c>
      <c r="AE4" s="7">
        <v>46099</v>
      </c>
      <c r="AF4" s="7">
        <v>46106</v>
      </c>
      <c r="AG4" s="7">
        <v>46113</v>
      </c>
      <c r="AH4" s="7">
        <v>46120</v>
      </c>
      <c r="AI4" s="7">
        <v>46127</v>
      </c>
      <c r="AJ4" s="7">
        <v>46134</v>
      </c>
      <c r="AK4" s="7">
        <v>46141</v>
      </c>
      <c r="AL4" s="7">
        <v>46148</v>
      </c>
      <c r="AM4" s="7">
        <v>46155</v>
      </c>
      <c r="AN4" s="7">
        <v>46162</v>
      </c>
      <c r="AO4" s="8">
        <v>46169</v>
      </c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</row>
    <row r="5" spans="1:258" x14ac:dyDescent="0.25">
      <c r="A5" s="15" t="s">
        <v>17</v>
      </c>
      <c r="B5" s="15"/>
      <c r="C5" s="3">
        <v>45917</v>
      </c>
      <c r="D5" s="3">
        <v>45931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</row>
    <row r="6" spans="1:258" hidden="1" outlineLevel="1" x14ac:dyDescent="0.25">
      <c r="A6" s="11" t="s">
        <v>0</v>
      </c>
      <c r="B6" s="11"/>
      <c r="C6" s="3">
        <v>45917</v>
      </c>
      <c r="D6" s="3">
        <v>45931</v>
      </c>
    </row>
    <row r="7" spans="1:258" hidden="1" outlineLevel="1" x14ac:dyDescent="0.25">
      <c r="A7" s="11" t="s">
        <v>1</v>
      </c>
      <c r="B7" s="11"/>
      <c r="C7" s="3">
        <v>45917</v>
      </c>
      <c r="D7" s="3">
        <v>45924</v>
      </c>
    </row>
    <row r="8" spans="1:258" collapsed="1" x14ac:dyDescent="0.25">
      <c r="A8" s="15" t="s">
        <v>18</v>
      </c>
      <c r="B8" s="15"/>
      <c r="C8" s="3">
        <v>45931</v>
      </c>
      <c r="D8" s="3">
        <v>45987</v>
      </c>
    </row>
    <row r="9" spans="1:258" hidden="1" outlineLevel="1" x14ac:dyDescent="0.25">
      <c r="A9" s="11" t="s">
        <v>2</v>
      </c>
      <c r="B9" s="11"/>
      <c r="C9" s="3">
        <v>45931</v>
      </c>
      <c r="D9" s="3">
        <v>45945</v>
      </c>
    </row>
    <row r="10" spans="1:258" hidden="1" outlineLevel="1" x14ac:dyDescent="0.25">
      <c r="A10" s="11" t="s">
        <v>22</v>
      </c>
      <c r="B10" s="11"/>
      <c r="C10" s="3">
        <v>45945</v>
      </c>
      <c r="D10" s="3">
        <v>45966</v>
      </c>
    </row>
    <row r="11" spans="1:258" hidden="1" outlineLevel="1" x14ac:dyDescent="0.25">
      <c r="A11" s="11" t="s">
        <v>14</v>
      </c>
      <c r="B11" s="11"/>
      <c r="C11" s="3">
        <v>45959</v>
      </c>
      <c r="D11" s="3">
        <v>45966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hidden="1" outlineLevel="1" x14ac:dyDescent="0.25">
      <c r="A12" s="11" t="s">
        <v>11</v>
      </c>
      <c r="B12" s="11"/>
      <c r="C12" s="3">
        <v>45952</v>
      </c>
      <c r="D12" s="3">
        <v>45973</v>
      </c>
    </row>
    <row r="13" spans="1:258" hidden="1" outlineLevel="1" x14ac:dyDescent="0.25">
      <c r="A13" s="20" t="s">
        <v>13</v>
      </c>
      <c r="B13" s="20"/>
      <c r="C13" s="3">
        <v>45973</v>
      </c>
      <c r="D13" s="3">
        <v>45987</v>
      </c>
    </row>
    <row r="14" spans="1:258" collapsed="1" x14ac:dyDescent="0.25">
      <c r="A14" s="15" t="s">
        <v>25</v>
      </c>
      <c r="B14" s="15"/>
      <c r="C14" s="3">
        <v>45973</v>
      </c>
      <c r="D14" s="3">
        <v>46015</v>
      </c>
    </row>
    <row r="15" spans="1:258" hidden="1" outlineLevel="1" x14ac:dyDescent="0.25">
      <c r="A15" s="11" t="s">
        <v>23</v>
      </c>
      <c r="B15" s="11"/>
      <c r="C15" s="3">
        <v>45973</v>
      </c>
      <c r="D15" s="3">
        <v>45987</v>
      </c>
    </row>
    <row r="16" spans="1:258" hidden="1" outlineLevel="1" x14ac:dyDescent="0.25">
      <c r="A16" s="20" t="s">
        <v>19</v>
      </c>
      <c r="B16" s="20"/>
      <c r="C16" s="3">
        <v>45987</v>
      </c>
      <c r="D16" s="3">
        <v>46015</v>
      </c>
    </row>
    <row r="17" spans="1:258" collapsed="1" x14ac:dyDescent="0.25">
      <c r="A17" s="21" t="s">
        <v>24</v>
      </c>
      <c r="B17" s="21"/>
      <c r="C17" s="3">
        <v>45987</v>
      </c>
      <c r="D17" s="3">
        <v>45994</v>
      </c>
    </row>
    <row r="18" spans="1:258" collapsed="1" x14ac:dyDescent="0.25">
      <c r="A18" s="21" t="s">
        <v>26</v>
      </c>
      <c r="B18" s="21"/>
      <c r="C18" s="3">
        <v>45994</v>
      </c>
      <c r="D18" s="3">
        <v>46106</v>
      </c>
    </row>
    <row r="19" spans="1:258" hidden="1" outlineLevel="1" x14ac:dyDescent="0.25">
      <c r="A19" s="11" t="s">
        <v>27</v>
      </c>
      <c r="B19" s="11"/>
      <c r="C19" s="3">
        <v>45994</v>
      </c>
      <c r="D19" s="3">
        <v>46001</v>
      </c>
    </row>
    <row r="20" spans="1:258" ht="15.75" hidden="1" customHeight="1" outlineLevel="1" x14ac:dyDescent="0.25">
      <c r="A20" s="11" t="s">
        <v>28</v>
      </c>
      <c r="B20" s="11"/>
      <c r="C20" s="3">
        <v>46015</v>
      </c>
      <c r="D20" s="3">
        <v>46029</v>
      </c>
    </row>
    <row r="21" spans="1:258" collapsed="1" x14ac:dyDescent="0.25"/>
    <row r="24" spans="1:258" x14ac:dyDescent="0.25">
      <c r="A24" s="1" t="s">
        <v>9</v>
      </c>
      <c r="B24" s="3">
        <v>45917</v>
      </c>
      <c r="C24" s="3"/>
      <c r="D24" s="3"/>
      <c r="E24" s="6"/>
      <c r="F24" s="6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 spans="1:258" x14ac:dyDescent="0.25">
      <c r="A25" s="1" t="s">
        <v>4</v>
      </c>
      <c r="B25" s="3">
        <v>46170</v>
      </c>
      <c r="C25" s="3"/>
      <c r="D25" s="3"/>
      <c r="E25" s="6"/>
      <c r="F25" s="6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</row>
    <row r="26" spans="1:258" x14ac:dyDescent="0.25">
      <c r="A26" s="1" t="s">
        <v>6</v>
      </c>
      <c r="B26" s="4">
        <f ca="1">TODAY()-B24</f>
        <v>62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 spans="1:258" x14ac:dyDescent="0.25">
      <c r="A27" s="1" t="s">
        <v>7</v>
      </c>
      <c r="B27" s="4">
        <f ca="1">B25-TODAY()</f>
        <v>191</v>
      </c>
      <c r="C27" s="4"/>
      <c r="D27" s="4"/>
      <c r="E27" s="6"/>
      <c r="F27" s="6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 spans="1:258" x14ac:dyDescent="0.25">
      <c r="C28" s="4"/>
      <c r="D28" s="4"/>
      <c r="E28" s="6"/>
      <c r="F28" s="6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</sheetData>
  <mergeCells count="25">
    <mergeCell ref="A17:B17"/>
    <mergeCell ref="A18:B18"/>
    <mergeCell ref="A19:B19"/>
    <mergeCell ref="A20:B20"/>
    <mergeCell ref="A4:B4"/>
    <mergeCell ref="A6:B6"/>
    <mergeCell ref="A7:B7"/>
    <mergeCell ref="A10:B10"/>
    <mergeCell ref="A12:B12"/>
    <mergeCell ref="A15:B15"/>
    <mergeCell ref="A13:B13"/>
    <mergeCell ref="A11:B11"/>
    <mergeCell ref="A16:B16"/>
    <mergeCell ref="A14:B14"/>
    <mergeCell ref="A1:B1"/>
    <mergeCell ref="C1:D1"/>
    <mergeCell ref="A3:B3"/>
    <mergeCell ref="C3:D3"/>
    <mergeCell ref="A2:B2"/>
    <mergeCell ref="A9:B9"/>
    <mergeCell ref="E3:N3"/>
    <mergeCell ref="O3:AK3"/>
    <mergeCell ref="AL3:AO3"/>
    <mergeCell ref="A8:B8"/>
    <mergeCell ref="A5:B5"/>
  </mergeCells>
  <conditionalFormatting sqref="E5:AO20">
    <cfRule type="expression" dxfId="7" priority="3">
      <formula>AND(E$4&gt;=$C5,E$4 &lt;$D5)</formula>
    </cfRule>
  </conditionalFormatting>
  <conditionalFormatting sqref="E4:AO4">
    <cfRule type="expression" dxfId="6" priority="5">
      <formula>E$4 &gt; TODAY()</formula>
    </cfRule>
    <cfRule type="expression" dxfId="5" priority="6">
      <formula>E$4 &lt; TODAY()</formula>
    </cfRule>
  </conditionalFormatting>
  <conditionalFormatting sqref="E5:AO5 E8:AO8 E14:AO14 E17:AO18">
    <cfRule type="expression" dxfId="4" priority="1">
      <formula>AND(E$4&gt;=$C5,E$4&lt;$D5)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Пешков</dc:creator>
  <cp:lastModifiedBy>Алексей Пешков</cp:lastModifiedBy>
  <dcterms:created xsi:type="dcterms:W3CDTF">2025-11-11T16:35:12Z</dcterms:created>
  <dcterms:modified xsi:type="dcterms:W3CDTF">2025-11-18T15:00:07Z</dcterms:modified>
</cp:coreProperties>
</file>